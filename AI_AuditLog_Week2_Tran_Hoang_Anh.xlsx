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<sst xmlns="http://schemas.openxmlformats.org/spreadsheetml/2006/main" count="342" uniqueCount="230">
  <si>
    <t>AI AUDIT LOG - WEEK 2 METADATA &amp; SUMMARY</t>
  </si>
  <si>
    <t>STUDENT INFORMATION</t>
  </si>
  <si>
    <t>Student Name:</t>
  </si>
  <si>
    <t>Trần Hoàng Anh</t>
  </si>
  <si>
    <t>Student ID:</t>
  </si>
  <si>
    <t>DE190985</t>
  </si>
  <si>
    <t>Kept from the uploaded template</t>
  </si>
  <si>
    <t>Course:</t>
  </si>
  <si>
    <t>SWR302</t>
  </si>
  <si>
    <t>Assignment:</t>
  </si>
  <si>
    <t>Travel Attraction Ticket Booking Platform</t>
  </si>
  <si>
    <t>Week:</t>
  </si>
  <si>
    <t>Week 2</t>
  </si>
  <si>
    <t>Week 2 Focus:</t>
  </si>
  <si>
    <t>Requirements refinement, use case diagram modules, database design, authentication UI/backend planning</t>
  </si>
  <si>
    <t>AI USAGE SUMMARY</t>
  </si>
  <si>
    <t>Total Prompts Used (all AI tools):</t>
  </si>
  <si>
    <t>Estimated Week 2 AI interactions</t>
  </si>
  <si>
    <t>Core Prompts Logged:</t>
  </si>
  <si>
    <t>Only decision/problem-solving/verification prompts</t>
  </si>
  <si>
    <t>Selection Ratio:</t>
  </si>
  <si>
    <t>Should be 10-20%</t>
  </si>
  <si>
    <t>Hallucination Detected:</t>
  </si>
  <si>
    <t>Project target: ≥3 cases</t>
  </si>
  <si>
    <t>AI TOOLS USED</t>
  </si>
  <si>
    <t>AI Tool</t>
  </si>
  <si>
    <t>Purpose</t>
  </si>
  <si>
    <t>Frequency</t>
  </si>
  <si>
    <t>Main Value</t>
  </si>
  <si>
    <t>ChatGPT</t>
  </si>
  <si>
    <t>Requirement analysis, use case refinement, database/API reasoning</t>
  </si>
  <si>
    <t>High</t>
  </si>
  <si>
    <t>Deep explanation and design alternatives</t>
  </si>
  <si>
    <t>Google Stitch</t>
  </si>
  <si>
    <t>UI mockup generation for landing/authentication screens</t>
  </si>
  <si>
    <t>Medium</t>
  </si>
  <si>
    <t>Fast visual prototype</t>
  </si>
  <si>
    <t>Codex</t>
  </si>
  <si>
    <t>Frontend implementation prompt and code-flow assistance</t>
  </si>
  <si>
    <t>Convert UI ideas into React/Vite structure</t>
  </si>
  <si>
    <t>GitHub Copilot</t>
  </si>
  <si>
    <t>Auto-completion and small code suggestions</t>
  </si>
  <si>
    <t>Low</t>
  </si>
  <si>
    <t>Speed up repetitive coding</t>
  </si>
  <si>
    <t>CORE PROMPTS DISTRIBUTION BY DTC COMPONENT</t>
  </si>
  <si>
    <t>DTC Component</t>
  </si>
  <si>
    <t>Number of Prompts</t>
  </si>
  <si>
    <t>Required (Min)</t>
  </si>
  <si>
    <t>Status</t>
  </si>
  <si>
    <t>Decomposition</t>
  </si>
  <si>
    <t>≥ 1</t>
  </si>
  <si>
    <t>Pattern Recognition</t>
  </si>
  <si>
    <t>Abstraction</t>
  </si>
  <si>
    <t>Algorithms</t>
  </si>
  <si>
    <t>DETAILED AI AUDIT LOG - WEEK 2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</si>
  <si>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</si>
  <si>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</si>
  <si>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</si>
  <si>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</si>
  <si>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</si>
  <si>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</si>
  <si>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</si>
  <si>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</si>
  <si>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</si>
  <si>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</si>
  <si>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</si>
  <si>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The project scope was too broad because the system had many actors and features.</t>
  </si>
  <si>
    <t>Break down a Travel Attraction Ticket Booking Platform into clear use case diagram modules. Actors include Guest, Customer, Attraction Partner, Support Staff, Admin, and Notification/Payment services.</t>
  </si>
  <si>
    <t>AI suggested grouping the system into functional modules such as authentication, attraction management, booking, payment, support, and administration.</t>
  </si>
  <si>
    <t>Critical Thinking: A single full diagram would be too crowded and hard to defend in class.
Contextualization: The teacher requested smaller module diagrams and warned against vague “manage” use cases.
Creative Synthesis: I grouped the project into 5 modules: Authentication &amp; Profile, Attraction/Product Management, Booking &amp; Payment, Support/Refund/Review, and Admin/Analytics.
Decision: I used module-based use case diagrams because they are easier to explain and match the project scope.</t>
  </si>
  <si>
    <t>Week 2 use case module draft + diagram screenshot</t>
  </si>
  <si>
    <t>002</t>
  </si>
  <si>
    <t>There was confusion about whether Check-in Staff should be a separate actor.</t>
  </si>
  <si>
    <t>Should Check-in Staff be a separate actor in an attraction ticket booking platform, or can the responsibility be merged into Support Staff?</t>
  </si>
  <si>
    <t>AI initially treated Check-in Staff as a separate operational actor for QR validation.</t>
  </si>
  <si>
    <t>Critical Thinking: The check-in person at the attraction counter may not be a main system user in our project.
Contextualization: Our scope focuses on online booking, partner management, and support; too many actors make the diagram complex.
Creative Synthesis: I merged ticket validation responsibility into Support Staff/Partner operation where necessary.
Decision: I did not keep Check-in Staff as a separate main actor to keep the actor model clean.</t>
  </si>
  <si>
    <t>Actor list v2 + teacher-feedback note</t>
  </si>
  <si>
    <t>003</t>
  </si>
  <si>
    <t>PROBLEM-SOLVING</t>
  </si>
  <si>
    <t>The use case list became too detailed and difficult to draw.</t>
  </si>
  <si>
    <t>Review these use cases and suggest which ones can be grouped without losing important business logic. Include only meaningful &lt;&lt;include&gt;&gt; and &lt;&lt;extend&gt;&gt; relationships.</t>
  </si>
  <si>
    <t>AI proposed grouping small steps under larger business use cases such as Book Attraction Ticket and Manage Ticket Product.</t>
  </si>
  <si>
    <t>Critical Thinking: Not every small action should become a standalone use case.
Contextualization: The diagram must be understandable for an SWE/SWR presentation, not an implementation checklist.
Creative Synthesis: I kept large use cases and moved step-level actions into &lt;&lt;include&gt;&gt; relationships, such as Book Attraction Ticket including Select Ticket Type, Choose Visit Date, Check Availability, Apply Voucher, and Make Payment.
Decision: I used grouped use cases with include/extend only where the relationship is reusable or optional.</t>
  </si>
  <si>
    <t>Final grouped use case table + include/extend notes</t>
  </si>
  <si>
    <t>004</t>
  </si>
  <si>
    <t>The system needed realistic features based on similar travel booking platforms.</t>
  </si>
  <si>
    <t>Analyze common patterns from platforms like Klook/Traveloka for attraction ticket booking and identify features suitable for a student project.</t>
  </si>
  <si>
    <t>AI summarized common patterns: search/filter, attraction detail, ticket selection, online payment, e-ticket/QR code, reviews, refund, and partner listing management.</t>
  </si>
  <si>
    <t>Critical Thinking: Copying all marketplace features would make the project too large.
Contextualization: Our system focuses on Vietnamese attractions and course demo requirements.
Creative Synthesis: I selected features that directly support the booking lifecycle and removed low-priority marketplace features.
Decision: I kept search/filter, ticket booking, payment, QR e-ticket, review, refund, and partner management as core patterns.</t>
  </si>
  <si>
    <t>Competitor feature comparison table</t>
  </si>
  <si>
    <t>005</t>
  </si>
  <si>
    <t>The database design had many entities and risked duplication.</t>
  </si>
  <si>
    <t>Normalize the database entities for a Travel Attraction Ticket Booking Platform. Check if Users, Roles, Partners, Attractions, TicketProducts, Bookings, Payments, Vouchers, Reviews, Notifications, and AuditLogs are reasonable.</t>
  </si>
  <si>
    <t>AI suggested a relational schema and warned about duplicate profile/account tables.</t>
  </si>
  <si>
    <t>Critical Thinking: Some suggested entities overlapped, for example customer profile vs user account and partner profile vs partner account.
Contextualization: The project needs enough entities for SWP/SWR documentation but still implementable by the team.
Creative Synthesis: I used User as the authentication root, then separated Customer/Partner profile data only when business attributes differ.
Decision: I kept normalized entities and avoided duplicate account tables.</t>
  </si>
  <si>
    <t>dbdiagram.io draft + entity explanation file</t>
  </si>
  <si>
    <t>006</t>
  </si>
  <si>
    <t>VERIFICATION</t>
  </si>
  <si>
    <t>The authentication flow was unclear after successful login.</t>
  </si>
  <si>
    <t>For a professional travel booking website, should the user go directly to Profile after login, or go to the landing/home page and access Profile from there?</t>
  </si>
  <si>
    <t>AI at first suggested going directly to Profile because the profile screen was already designed.</t>
  </si>
  <si>
    <t>Critical Thinking: Directly opening Profile after every login feels unnatural for a real booking website.
Contextualization: Users usually log in to continue browsing/booking, not only to edit personal information.
Creative Synthesis: I changed the route logic to: Login success → Home/Landing page; Profile is available from user menu.
Decision: I used a more realistic authentication navigation flow.</t>
  </si>
  <si>
    <t>Authentication UI flow notes + route plan</t>
  </si>
  <si>
    <t>007</t>
  </si>
  <si>
    <t>The booking process must avoid overselling tickets when many users pay at the same time.</t>
  </si>
  <si>
    <t>Design a safe ticket availability algorithm for attraction ticket booking with visit date, time slot, ticket quantity, pending payment, and confirmed payment.</t>
  </si>
  <si>
    <t>AI suggested checking availability and reducing stock after the user submits the booking.</t>
  </si>
  <si>
    <t>Critical Thinking: Reducing stock too early can lock inventory for users who never pay; reducing too late can oversell.
Contextualization: The system sells date/time-slot tickets, so availability must be checked at checkout and confirmed after payment.
Creative Synthesis: I designed a pending reservation with expiration, then confirmed stock only when payment succeeds.
Decision: I used a hold-and-expire approach to balance user experience and inventory safety.</t>
  </si>
  <si>
    <t>Booking sequence draft + availability rule note</t>
  </si>
  <si>
    <t>008</t>
  </si>
  <si>
    <t>Voucher logic was more complex than simply checking the expiry date.</t>
  </si>
  <si>
    <t>Create validation rules for applying a voucher in a travel attraction ticket booking checkout flow.</t>
  </si>
  <si>
    <t>AI initially focused mainly on active status and expiry date.</t>
  </si>
  <si>
    <t>Critical Thinking: A valid voucher also depends on minimum order value, usage limit, user limit, eligible attraction/ticket, and max discount.
Contextualization: Voucher abuse can cause wrong payment totals and business loss.
Creative Synthesis: I added validation steps: status, date range, min order, eligible ticket/attraction, total usage limit, per-user usage limit, and max discount cap.
Decision: I used a multi-step validation algorithm before calculating the final amount.</t>
  </si>
  <si>
    <t>Voucher business rule table</t>
  </si>
  <si>
    <t>009</t>
  </si>
  <si>
    <t>There was misunderstanding about whether PostgreSQL automatically makes data usable by AI later.</t>
  </si>
  <si>
    <t>If I use PostgreSQL for the project, does it automatically store data so that AI can use it later?</t>
  </si>
  <si>
    <t>AI gave an oversimplified answer that PostgreSQL stores data and AI can use it later.</t>
  </si>
  <si>
    <t>Critical Thinking: A database alone does not make AI intelligent or automatically train an AI model.
Contextualization: Our current project only needs structured data and possible analytics/AI assistant support.
Creative Synthesis: I separated normal transactional storage from future AI usage through logs, analytics tables, and controlled API access.
Decision: I chose PostgreSQL for reliable relational storage, not because it automatically provides AI capability.</t>
  </si>
  <si>
    <t>Database decision note + AI data usage clarification</t>
  </si>
  <si>
    <t>010</t>
  </si>
  <si>
    <t>Some AI suggestions expanded the scope to tours and hotels, while our current project is attraction ticket booking.</t>
  </si>
  <si>
    <t>Review the system scope and remove features that belong to tour/hotel booking instead of attraction ticket booking.</t>
  </si>
  <si>
    <t>AI included tour booking and hotel booking in several suggested flows.</t>
  </si>
  <si>
    <t>Critical Thinking: Tour/hotel booking is related but not the same business domain.
Contextualization: The project title and diagrams focus on attraction/ticket booking.
Creative Synthesis: I narrowed the scope to attractions, ticket products, visit slots, bookings, payments, QR e-tickets, refunds, reviews, and partner listings.
Decision: I removed tour/hotel modules to keep the project consistent and feasible.</t>
  </si>
  <si>
    <t>Scope revision document + use case list cleanup</t>
  </si>
  <si>
    <t>011</t>
  </si>
  <si>
    <t>The team needed Week 2 tasks that match the system design work.</t>
  </si>
  <si>
    <t>Create a Week 2 project tracking plan for the attraction ticket booking platform, including frontend authentication UI, backend/API planning, database design, and documentation tasks.</t>
  </si>
  <si>
    <t>AI suggested dividing tasks by deliverables and assigning clear owners, deadlines, and evidence.</t>
  </si>
  <si>
    <t>Critical Thinking: A task list without evidence is hard to track and defend.
Contextualization: The team must show progress in SWP/SWR style documentation.
Creative Synthesis: I converted the plan into trackable tasks with owner, priority, status, output evidence, and risk notes.
Decision: I used a project tracking format instead of a simple to-do list.</t>
  </si>
  <si>
    <t>Week 2 project_tracking Excel/Word draft</t>
  </si>
  <si>
    <t>012</t>
  </si>
  <si>
    <t>The landing page/UI prompt had to keep the existing visual structure instead of forcing random colors.</t>
  </si>
  <si>
    <t>Write a prompt for Google Stitch/Codex to improve the travel attraction booking landing page while keeping the same layout format and avoiding unwanted color suggestions.</t>
  </si>
  <si>
    <t>AI proposed a more polished landing page prompt with sections for hero, search, attraction cards, trust badges, and CTA.</t>
  </si>
  <si>
    <t>Critical Thinking: Earlier AI color suggestions did not match the intended visual style.
Contextualization: The user already had a layout and wanted refinement, not a complete redesign.
Creative Synthesis: I focused the prompt on layout, content hierarchy, spacing, and travel-booking credibility while letting the existing color direction remain.
Decision: I used AI as a UI refinement assistant, not as the final design authority.</t>
  </si>
  <si>
    <t>Landing page screenshot + final UI prompt</t>
  </si>
  <si>
    <t>HALLUCINATION DETECTION LOG - WEEK 2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</si>
  <si>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</si>
  <si>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</si>
  <si>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</si>
  <si>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</si>
  <si>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</si>
  <si>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</si>
  <si>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</si>
  <si>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</si>
  <si>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After login, the user should go directly to the Profile page.</t>
  </si>
  <si>
    <t>A real booking site usually returns users to Home/Landing/Dashboard; Profile is optional.</t>
  </si>
  <si>
    <t>Reviewed professional authentication flow and user goal after login.</t>
  </si>
  <si>
    <t>Changed route to Login success → Home/Landing page; Profile accessible from menu.</t>
  </si>
  <si>
    <t>Oversimplification</t>
  </si>
  <si>
    <t>Voucher validation only needs active status and expiry date.</t>
  </si>
  <si>
    <t>Voucher rules also need minimum order, eligibility, total usage limit, per-user limit, and max discount.</t>
  </si>
  <si>
    <t>Checked business rule completeness during checkout design.</t>
  </si>
  <si>
    <t>Added a multi-step voucher validation algorithm.</t>
  </si>
  <si>
    <t>PostgreSQL stores data so AI can automatically use it later.</t>
  </si>
  <si>
    <t>Database storage is not the same as AI training or retrieval; AI usage needs logs, permissions, API/retrieval, and analysis pipeline.</t>
  </si>
  <si>
    <t>Compared transactional database purpose with future AI assistant/analytics requirement.</t>
  </si>
  <si>
    <t>Separated relational storage from future AI data pipeline and audit logs.</t>
  </si>
  <si>
    <t>The project should include tour booking and hotel booking flows.</t>
  </si>
  <si>
    <t>The current project scope is attraction ticket booking, not a full travel marketplace.</t>
  </si>
  <si>
    <t>Cross-checked against project title, use cases, and database scope.</t>
  </si>
  <si>
    <t>Removed tour/hotel flows and kept attractions, ticket products, bookings, payments, QR e-ticket, refunds, reviews.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</si>
  <si>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</si>
  <si>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</si>
  <si>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</si>
  <si>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</si>
  <si>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</si>
  <si>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</si>
  <si>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</si>
  <si>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</si>
  <si>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empty array / voucher thiếu rule</t>
  </si>
  <si>
    <t>Logic Error</t>
  </si>
  <si>
    <t>AI đưa kết luận sai về best practice hoặc thuật toán</t>
  </si>
  <si>
    <t>Chọn approach sai vì không xét trade-off</t>
  </si>
  <si>
    <t>Outdated Info</t>
  </si>
  <si>
    <t>AI dùng thông tin cũ, không còn đúng</t>
  </si>
  <si>
    <t>Old API syntax, deprecated method</t>
  </si>
  <si>
    <t>AI không hiểu đúng bối cảnh</t>
  </si>
  <si>
    <t>Đề xuất tour/hotel trong scope chỉ bán vé tham quan</t>
  </si>
  <si>
    <t>Code không handle array rỗng</t>
  </si>
  <si>
    <t>AI đưa kết luận sai về 'best practice'</t>
  </si>
  <si>
    <t>'XGBoost always best' → Sai</t>
  </si>
  <si>
    <t>Old API syntax, deprecated methods</t>
  </si>
  <si>
    <t>Không biết business constraints</t>
  </si>
  <si>
    <t>SELF-ASSESSMENT CHECKLIST - WEEK 2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</si>
  <si>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</si>
  <si>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</si>
  <si>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</si>
  <si>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</si>
  <si>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</si>
  <si>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</si>
  <si>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</si>
  <si>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</si>
  <si>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</si>
  <si>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Entries 001, 002, 003, 005, 006, 010 changed design/scope decisions.</t>
  </si>
  <si>
    <t>2</t>
  </si>
  <si>
    <t>Nếu không có prompt này, project có thay đổi về architecture/design?</t>
  </si>
  <si>
    <t>Use case modules, actor model, database abstraction, and authentication flow changed.</t>
  </si>
  <si>
    <t>3</t>
  </si>
  <si>
    <t>Tôi có thể giải thích lý do chọn/không chọn gợi ý của AI?</t>
  </si>
  <si>
    <t>Each Human Delta includes Critical Thinking, Contextualization, Creative Synthesis, and Decision.</t>
  </si>
  <si>
    <t>4</t>
  </si>
  <si>
    <t>Có minh chứng cụ thể (code, metrics, comparison)?</t>
  </si>
  <si>
    <t>Evidence column includes diagrams, screenshots, dbdiagram draft, route plan, and tracking file.</t>
  </si>
  <si>
    <t>5</t>
  </si>
  <si>
    <t>Prompt này phản ánh tư duy phản biện, không chỉ copy AI?</t>
  </si>
  <si>
    <t>Multiple AI suggestions were filtered, narrowed, or corrected.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</si>
  <si>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</si>
  <si>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</si>
  <si>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</si>
  <si>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</si>
  <si>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</si>
  <si>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 3, Pattern Recognition 3, Abstraction 3, Algorithms 3</t>
  </si>
  <si>
    <t>Đã phát hiện ≥ số lượng hallucination yêu cầu?</t>
  </si>
  <si>
    <t>4 hallucination cases; project requirement ≥3</t>
  </si>
  <si>
    <t>Mỗi entry đều có Human Delta đầy đủ (4 câu hỏi)?</t>
  </si>
  <si>
    <t>12/12 entries completed</t>
  </si>
  <si>
    <t>Có evidence cho ≥70% entries?</t>
  </si>
  <si>
    <t>12/12 entries have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</si>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</sst>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1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i/>
      <sz val="10"/>
      <color rgb="FF7F6000"/>
      <name val="Calibri"/>
      <charset val="134"/>
    </font>
    <font>
      <i/>
      <sz val="11"/>
      <color rgb="FF7F6000"/>
      <name val="Calibri"/>
      <charset val="134"/>
    </font>
    <font>
      <b/>
      <sz val="14"/>
      <color rgb="FF1F4E78"/>
      <name val="Calibri"/>
      <charset val="134"/>
    </font>
    <font>
      <b/>
      <sz val="11"/>
      <color rgb="FF1F4E78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2"/>
      <color rgb="FF1F4E78"/>
      <name val="Calibri"/>
      <charset val="134"/>
    </font>
    <font>
      <sz val="11"/>
      <color rgb="FFFF0000"/>
      <name val="Calibri"/>
      <charset val="134"/>
    </font>
    <font>
      <b/>
      <sz val="14"/>
      <color rgb="FF2E75B6"/>
      <name val="Calibri"/>
      <charset val="134"/>
    </font>
    <font>
      <b/>
      <i/>
      <sz val="10"/>
      <color rgb="FFFFFFFF"/>
      <name val="Calibri"/>
      <charset val="134"/>
    </font>
    <font>
      <b/>
      <sz val="11"/>
      <name val="Calibri"/>
      <charset val="134"/>
    </font>
    <font>
      <b/>
      <i/>
      <sz val="10"/>
      <color rgb="FF7F6000"/>
      <name val="Calibri"/>
      <charset val="134"/>
    </font>
    <font>
      <b/>
      <sz val="11"/>
      <color theme="1"/>
      <name val="Calibri"/>
      <charset val="134"/>
    </font>
    <font>
      <i/>
      <sz val="9"/>
      <color rgb="FF666666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6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left" vertical="top" wrapText="1"/>
    </xf>
    <xf numFmtId="0" fontId="5" fillId="4" borderId="0" xfId="0" applyNumberFormat="1" applyFont="1" applyFill="1" applyBorder="1" applyAlignment="1">
      <alignment horizontal="left" vertical="top" wrapText="1"/>
    </xf>
    <xf numFmtId="0" fontId="6" fillId="5" borderId="1" xfId="0" applyNumberFormat="1" applyFont="1" applyFill="1" applyBorder="1" applyAlignment="1">
      <alignment horizontal="center" vertical="top" wrapText="1"/>
    </xf>
    <xf numFmtId="0" fontId="8" fillId="4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wrapText="1"/>
    </xf>
    <xf numFmtId="0" fontId="10" fillId="0" borderId="0" xfId="0" applyNumberFormat="1" applyFont="1" applyFill="1" applyBorder="1" applyAlignment="1">
      <alignment wrapText="1"/>
    </xf>
    <xf numFmtId="0" fontId="11" fillId="5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13" fillId="3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vertical="center" wrapText="1"/>
    </xf>
    <xf numFmtId="0" fontId="14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178" fontId="0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>
      <alignment wrapText="1"/>
    </xf>
    <xf numFmtId="0" fontId="0" fillId="7" borderId="0" xfId="0" applyNumberFormat="1" applyFont="1" applyFill="1" applyBorder="1" applyAlignment="1">
      <alignment wrapText="1"/>
    </xf>
    <xf numFmtId="0" fontId="6" fillId="8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vertical="top" wrapText="1"/>
    </xf>
    <xf numFmtId="0" fontId="0" fillId="7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topLeftCell="A9" workbookViewId="0">
      <selection activeCell="A1" sqref="A1:F1"/>
    </sheetView>
  </sheetViews>
  <sheetFormatPr defaultColWidth="9" defaultRowHeight="14.4" outlineLevelCol="5"/>
  <cols>
    <col min="1" max="1" width="26" customWidth="1"/>
    <col min="2" max="2" width="18" customWidth="1"/>
    <col min="3" max="3" width="42" customWidth="1"/>
    <col min="4" max="4" width="20" customWidth="1"/>
    <col min="5" max="5" width="34" customWidth="1"/>
    <col min="6" max="6" width="20" customWidth="1"/>
  </cols>
  <sheetData>
    <row r="1" ht="33.6" customHeight="1" spans="1:5">
      <c r="A1" s="1" t="s">
        <v>0</v>
      </c>
      <c r="B1" s="1"/>
      <c r="C1" s="1"/>
      <c r="D1" s="1"/>
      <c r="E1" s="1"/>
    </row>
    <row r="2" customHeight="1" spans="1:5">
      <c r="A2" s="4"/>
      <c r="B2" s="4"/>
      <c r="C2" s="4"/>
      <c r="D2" s="4"/>
      <c r="E2" s="4"/>
    </row>
    <row r="3" ht="16.8" customHeight="1" spans="1:5">
      <c r="A3" s="5" t="s">
        <v>1</v>
      </c>
      <c r="B3" s="6"/>
      <c r="C3" s="6"/>
      <c r="D3" s="6"/>
      <c r="E3" s="6"/>
    </row>
    <row r="4" customHeight="1" spans="1:5">
      <c r="A4" s="28" t="s">
        <v>2</v>
      </c>
      <c r="B4" s="4"/>
      <c r="C4" s="4" t="s">
        <v>3</v>
      </c>
      <c r="D4" s="4"/>
      <c r="E4" s="4"/>
    </row>
    <row r="5" customHeight="1" spans="1:5">
      <c r="A5" s="28" t="s">
        <v>4</v>
      </c>
      <c r="B5" s="4"/>
      <c r="C5" s="4" t="s">
        <v>5</v>
      </c>
      <c r="D5" s="4"/>
      <c r="E5" s="4" t="s">
        <v>6</v>
      </c>
    </row>
    <row r="6" customHeight="1" spans="1:5">
      <c r="A6" s="28" t="s">
        <v>7</v>
      </c>
      <c r="B6" s="4"/>
      <c r="C6" s="4" t="s">
        <v>8</v>
      </c>
      <c r="D6" s="4"/>
      <c r="E6" s="4"/>
    </row>
    <row r="7" customHeight="1" spans="1:5">
      <c r="A7" s="28" t="s">
        <v>9</v>
      </c>
      <c r="B7" s="4"/>
      <c r="C7" s="4" t="s">
        <v>10</v>
      </c>
      <c r="D7" s="4"/>
      <c r="E7" s="4"/>
    </row>
    <row r="8" customHeight="1" spans="1:5">
      <c r="A8" s="29" t="s">
        <v>11</v>
      </c>
      <c r="B8" s="4"/>
      <c r="C8" s="4" t="s">
        <v>12</v>
      </c>
      <c r="D8" s="4"/>
      <c r="E8" s="4"/>
    </row>
    <row r="9" ht="39.6" customHeight="1" spans="1:5">
      <c r="A9" s="30" t="s">
        <v>13</v>
      </c>
      <c r="B9" s="4"/>
      <c r="C9" s="4" t="s">
        <v>14</v>
      </c>
      <c r="D9" s="4"/>
      <c r="E9" s="4"/>
    </row>
    <row r="10" customHeight="1" spans="1:5">
      <c r="A10" s="28"/>
      <c r="B10" s="4"/>
      <c r="C10" s="4"/>
      <c r="D10" s="4"/>
      <c r="E10" s="4"/>
    </row>
    <row r="11" customHeight="1" spans="1:5">
      <c r="A11" s="6" t="s">
        <v>15</v>
      </c>
      <c r="B11" s="6"/>
      <c r="C11" s="6"/>
      <c r="D11" s="6"/>
      <c r="E11" s="6"/>
    </row>
    <row r="12" ht="26.4" customHeight="1" spans="1:5">
      <c r="A12" s="28" t="s">
        <v>16</v>
      </c>
      <c r="B12" s="4"/>
      <c r="C12" s="31">
        <v>75</v>
      </c>
      <c r="D12" s="4"/>
      <c r="E12" s="32" t="s">
        <v>17</v>
      </c>
    </row>
    <row r="13" ht="39.6" customHeight="1" spans="1:5">
      <c r="A13" s="28" t="s">
        <v>18</v>
      </c>
      <c r="B13" s="4"/>
      <c r="C13" s="33">
        <f>COUNTA('2. Detailed Audit Log'!A4:A15)</f>
        <v>12</v>
      </c>
      <c r="D13" s="4"/>
      <c r="E13" s="4" t="s">
        <v>19</v>
      </c>
    </row>
    <row r="14" customHeight="1" spans="1:5">
      <c r="A14" s="29" t="s">
        <v>20</v>
      </c>
      <c r="B14" s="4"/>
      <c r="C14" s="31">
        <f>C13/C12</f>
        <v>0.16</v>
      </c>
      <c r="D14" s="4"/>
      <c r="E14" s="4" t="s">
        <v>21</v>
      </c>
    </row>
    <row r="15" ht="16.8" customHeight="1" spans="1:5">
      <c r="A15" s="30" t="s">
        <v>22</v>
      </c>
      <c r="B15" s="4"/>
      <c r="C15" s="4">
        <f>COUNTA('3. Hallucination Detection'!A4:A7)</f>
        <v>4</v>
      </c>
      <c r="D15" s="4"/>
      <c r="E15" s="4" t="s">
        <v>23</v>
      </c>
    </row>
    <row r="16" customHeight="1" spans="1:5">
      <c r="A16" s="34"/>
      <c r="B16" s="34"/>
      <c r="C16" s="34"/>
      <c r="D16" s="34"/>
      <c r="E16" s="4"/>
    </row>
    <row r="17" customHeight="1" spans="1:5">
      <c r="A17" s="24" t="s">
        <v>24</v>
      </c>
      <c r="B17" s="24"/>
      <c r="C17" s="24"/>
      <c r="D17" s="24"/>
      <c r="E17" s="6"/>
    </row>
    <row r="18" customHeight="1" spans="1:5">
      <c r="A18" s="7" t="s">
        <v>25</v>
      </c>
      <c r="B18" s="7" t="s">
        <v>26</v>
      </c>
      <c r="C18" s="7" t="s">
        <v>27</v>
      </c>
      <c r="D18" s="7" t="s">
        <v>28</v>
      </c>
      <c r="E18" s="4"/>
    </row>
    <row r="19" ht="52.8" customHeight="1" spans="1:5">
      <c r="A19" s="23" t="s">
        <v>29</v>
      </c>
      <c r="B19" s="23" t="s">
        <v>30</v>
      </c>
      <c r="C19" s="23" t="s">
        <v>31</v>
      </c>
      <c r="D19" s="23" t="s">
        <v>32</v>
      </c>
      <c r="E19" s="4"/>
    </row>
    <row r="20" ht="52.8" customHeight="1" spans="1:5">
      <c r="A20" s="23" t="s">
        <v>33</v>
      </c>
      <c r="B20" s="23" t="s">
        <v>34</v>
      </c>
      <c r="C20" s="23" t="s">
        <v>35</v>
      </c>
      <c r="D20" s="23" t="s">
        <v>36</v>
      </c>
      <c r="E20" s="4"/>
    </row>
    <row r="21" ht="52.8" customHeight="1" spans="1:5">
      <c r="A21" s="10" t="s">
        <v>37</v>
      </c>
      <c r="B21" s="10" t="s">
        <v>38</v>
      </c>
      <c r="C21" s="10" t="s">
        <v>35</v>
      </c>
      <c r="D21" s="10" t="s">
        <v>39</v>
      </c>
      <c r="E21" s="4"/>
    </row>
    <row r="22" ht="39.6" customHeight="1" spans="1:5">
      <c r="A22" s="35" t="s">
        <v>40</v>
      </c>
      <c r="B22" s="10" t="s">
        <v>41</v>
      </c>
      <c r="C22" s="10" t="s">
        <v>42</v>
      </c>
      <c r="D22" s="10" t="s">
        <v>43</v>
      </c>
      <c r="E22" s="4"/>
    </row>
    <row r="23" customHeight="1" spans="1:5">
      <c r="A23" s="34"/>
      <c r="B23" s="34"/>
      <c r="C23" s="34"/>
      <c r="D23" s="4"/>
      <c r="E23" s="4"/>
    </row>
    <row r="24" ht="26.4" customHeight="1" spans="1:5">
      <c r="A24" s="24" t="s">
        <v>44</v>
      </c>
      <c r="B24" s="24"/>
      <c r="C24" s="24"/>
      <c r="D24" s="6"/>
      <c r="E24" s="6"/>
    </row>
    <row r="25" customHeight="1" spans="1:5">
      <c r="A25" s="7" t="s">
        <v>45</v>
      </c>
      <c r="B25" s="7" t="s">
        <v>46</v>
      </c>
      <c r="C25" s="7" t="s">
        <v>47</v>
      </c>
      <c r="D25" s="18" t="s">
        <v>48</v>
      </c>
      <c r="E25" s="4"/>
    </row>
    <row r="26" customHeight="1" spans="1:5">
      <c r="A26" s="23" t="s">
        <v>49</v>
      </c>
      <c r="B26" s="36">
        <f>COUNTIF('2. Detailed Audit Log'!$C$4:$C$15,"Decomposition")</f>
        <v>3</v>
      </c>
      <c r="C26" s="37" t="s">
        <v>50</v>
      </c>
      <c r="D26" s="10" t="str">
        <f>IF(B26&gt;=1,"PASS","FAIL")</f>
        <v>PASS</v>
      </c>
      <c r="E26" s="4"/>
    </row>
    <row r="27" customHeight="1" spans="1:5">
      <c r="A27" s="23" t="s">
        <v>51</v>
      </c>
      <c r="B27" s="36">
        <f>COUNTIF('2. Detailed Audit Log'!$C$4:$C$15,"Pattern Recognition")</f>
        <v>3</v>
      </c>
      <c r="C27" s="37" t="s">
        <v>50</v>
      </c>
      <c r="D27" s="10" t="str">
        <f>IF(B27&gt;=1,"PASS","FAIL")</f>
        <v>PASS</v>
      </c>
      <c r="E27" s="4"/>
    </row>
    <row r="28" customHeight="1" spans="1:5">
      <c r="A28" s="10" t="s">
        <v>52</v>
      </c>
      <c r="B28" s="10">
        <f>COUNTIF('2. Detailed Audit Log'!$C$4:$C$15,"Abstraction")</f>
        <v>3</v>
      </c>
      <c r="C28" s="10" t="s">
        <v>50</v>
      </c>
      <c r="D28" s="10" t="str">
        <f>IF(B28&gt;=1,"PASS","FAIL")</f>
        <v>PASS</v>
      </c>
      <c r="E28" s="4"/>
    </row>
    <row r="29" customHeight="1" spans="1:5">
      <c r="A29" s="10" t="s">
        <v>53</v>
      </c>
      <c r="B29" s="10">
        <f>COUNTIF('2. Detailed Audit Log'!$C$4:$C$15,"Algorithms")</f>
        <v>3</v>
      </c>
      <c r="C29" s="10" t="s">
        <v>50</v>
      </c>
      <c r="D29" s="10" t="str">
        <f>IF(B29&gt;=1,"PASS","FAIL")</f>
        <v>PASS</v>
      </c>
      <c r="E29" s="4"/>
    </row>
    <row r="30" customHeight="1" spans="1:5">
      <c r="A30" s="4"/>
      <c r="B30" s="4"/>
      <c r="C30" s="4"/>
      <c r="D30" s="4"/>
      <c r="E30" s="4"/>
    </row>
    <row r="31" customHeight="1" spans="1:5">
      <c r="A31" s="4"/>
      <c r="B31" s="4"/>
      <c r="C31" s="4"/>
      <c r="D31" s="4"/>
      <c r="E31" s="4"/>
    </row>
    <row r="32" customHeight="1" spans="1:5">
      <c r="A32" s="4"/>
      <c r="B32" s="4"/>
      <c r="C32" s="4"/>
      <c r="D32" s="4"/>
      <c r="E32" s="4"/>
    </row>
    <row r="33" customHeight="1" spans="1:5">
      <c r="A33" s="4"/>
      <c r="B33" s="4"/>
      <c r="C33" s="4"/>
      <c r="D33" s="4"/>
      <c r="E33" s="4"/>
    </row>
    <row r="34" customHeight="1" spans="1:5">
      <c r="A34" s="4"/>
      <c r="B34" s="4"/>
      <c r="C34" s="4"/>
      <c r="D34" s="4"/>
      <c r="E34" s="4"/>
    </row>
    <row r="35" customHeight="1" spans="1:5">
      <c r="A35" s="4"/>
      <c r="B35" s="4"/>
      <c r="C35" s="4"/>
      <c r="D35" s="4"/>
      <c r="E35" s="4"/>
    </row>
    <row r="36" customHeight="1" spans="1:5">
      <c r="A36" s="4"/>
      <c r="B36" s="4"/>
      <c r="C36" s="4"/>
      <c r="D36" s="4"/>
      <c r="E36" s="4"/>
    </row>
    <row r="37" customHeight="1" spans="1:5">
      <c r="A37" s="4"/>
      <c r="B37" s="4"/>
      <c r="C37" s="4"/>
      <c r="D37" s="4"/>
      <c r="E37" s="4"/>
    </row>
    <row r="38" customHeight="1" spans="1:5">
      <c r="A38" s="4"/>
      <c r="B38" s="4"/>
      <c r="C38" s="4"/>
      <c r="D38" s="4"/>
      <c r="E38" s="4"/>
    </row>
    <row r="39" customHeight="1" spans="1:5">
      <c r="A39" s="4"/>
      <c r="B39" s="4"/>
      <c r="C39" s="4"/>
      <c r="D39" s="4"/>
      <c r="E39" s="4"/>
    </row>
    <row r="40" customHeight="1" spans="1:5">
      <c r="A40" s="4"/>
      <c r="B40" s="4"/>
      <c r="C40" s="4"/>
      <c r="D40" s="4"/>
      <c r="E40" s="4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9" defaultRowHeight="14.4" outlineLevelCol="7"/>
  <cols>
    <col min="1" max="1" width="10" customWidth="1"/>
    <col min="2" max="2" width="18" customWidth="1"/>
    <col min="3" max="3" width="20" customWidth="1"/>
    <col min="4" max="4" width="34" customWidth="1"/>
    <col min="5" max="6" width="42" customWidth="1"/>
    <col min="7" max="7" width="58" customWidth="1"/>
    <col min="8" max="8" width="32" customWidth="1"/>
  </cols>
  <sheetData>
    <row r="1" ht="67.2" customHeight="1" spans="1:8">
      <c r="A1" s="1" t="s">
        <v>54</v>
      </c>
      <c r="B1" s="1"/>
      <c r="C1" s="1"/>
      <c r="D1" s="1"/>
      <c r="E1" s="1"/>
      <c r="F1" s="1"/>
      <c r="G1" s="1"/>
      <c r="H1" s="1"/>
    </row>
    <row r="2" ht="144" customHeight="1" spans="1:8">
      <c r="A2" s="27" t="s">
        <v>55</v>
      </c>
      <c r="B2" s="3"/>
      <c r="C2" s="3"/>
      <c r="D2" s="3"/>
      <c r="E2" s="3"/>
      <c r="F2" s="3"/>
      <c r="G2" s="3"/>
      <c r="H2" s="3"/>
    </row>
    <row r="3" customHeight="1" spans="1:8">
      <c r="A3" s="7" t="s">
        <v>56</v>
      </c>
      <c r="B3" s="7" t="s">
        <v>57</v>
      </c>
      <c r="C3" s="7" t="s">
        <v>58</v>
      </c>
      <c r="D3" s="7" t="s">
        <v>59</v>
      </c>
      <c r="E3" s="7" t="s">
        <v>60</v>
      </c>
      <c r="F3" s="7" t="s">
        <v>61</v>
      </c>
      <c r="G3" s="7" t="s">
        <v>62</v>
      </c>
      <c r="H3" s="7" t="s">
        <v>63</v>
      </c>
    </row>
    <row r="4" ht="118.8" customHeight="1" spans="1:8">
      <c r="A4" s="23" t="s">
        <v>64</v>
      </c>
      <c r="B4" s="23" t="s">
        <v>65</v>
      </c>
      <c r="C4" s="23" t="s">
        <v>49</v>
      </c>
      <c r="D4" s="23" t="s">
        <v>66</v>
      </c>
      <c r="E4" s="23" t="s">
        <v>67</v>
      </c>
      <c r="F4" s="23" t="s">
        <v>68</v>
      </c>
      <c r="G4" s="23" t="s">
        <v>69</v>
      </c>
      <c r="H4" s="23" t="s">
        <v>70</v>
      </c>
    </row>
    <row r="5" ht="105.6" customHeight="1" spans="1:8">
      <c r="A5" s="23" t="s">
        <v>71</v>
      </c>
      <c r="B5" s="23" t="s">
        <v>65</v>
      </c>
      <c r="C5" s="23" t="s">
        <v>52</v>
      </c>
      <c r="D5" s="23" t="s">
        <v>72</v>
      </c>
      <c r="E5" s="23" t="s">
        <v>73</v>
      </c>
      <c r="F5" s="23" t="s">
        <v>74</v>
      </c>
      <c r="G5" s="23" t="s">
        <v>75</v>
      </c>
      <c r="H5" s="23" t="s">
        <v>76</v>
      </c>
    </row>
    <row r="6" ht="132" customHeight="1" spans="1:8">
      <c r="A6" s="23" t="s">
        <v>77</v>
      </c>
      <c r="B6" s="23" t="s">
        <v>78</v>
      </c>
      <c r="C6" s="23" t="s">
        <v>49</v>
      </c>
      <c r="D6" s="23" t="s">
        <v>79</v>
      </c>
      <c r="E6" s="23" t="s">
        <v>80</v>
      </c>
      <c r="F6" s="23" t="s">
        <v>81</v>
      </c>
      <c r="G6" s="23" t="s">
        <v>82</v>
      </c>
      <c r="H6" s="23" t="s">
        <v>83</v>
      </c>
    </row>
    <row r="7" ht="105.6" customHeight="1" spans="1:8">
      <c r="A7" s="23" t="s">
        <v>84</v>
      </c>
      <c r="B7" s="23" t="s">
        <v>65</v>
      </c>
      <c r="C7" s="23" t="s">
        <v>51</v>
      </c>
      <c r="D7" s="23" t="s">
        <v>85</v>
      </c>
      <c r="E7" s="23" t="s">
        <v>86</v>
      </c>
      <c r="F7" s="23" t="s">
        <v>87</v>
      </c>
      <c r="G7" s="23" t="s">
        <v>88</v>
      </c>
      <c r="H7" s="23" t="s">
        <v>89</v>
      </c>
    </row>
    <row r="8" ht="118.8" customHeight="1" spans="1:8">
      <c r="A8" s="23" t="s">
        <v>90</v>
      </c>
      <c r="B8" s="23" t="s">
        <v>65</v>
      </c>
      <c r="C8" s="23" t="s">
        <v>52</v>
      </c>
      <c r="D8" s="23" t="s">
        <v>91</v>
      </c>
      <c r="E8" s="23" t="s">
        <v>92</v>
      </c>
      <c r="F8" s="23" t="s">
        <v>93</v>
      </c>
      <c r="G8" s="23" t="s">
        <v>94</v>
      </c>
      <c r="H8" s="23" t="s">
        <v>95</v>
      </c>
    </row>
    <row r="9" ht="92.4" customHeight="1" spans="1:8">
      <c r="A9" s="23" t="s">
        <v>96</v>
      </c>
      <c r="B9" s="23" t="s">
        <v>97</v>
      </c>
      <c r="C9" s="23" t="s">
        <v>53</v>
      </c>
      <c r="D9" s="23" t="s">
        <v>98</v>
      </c>
      <c r="E9" s="23" t="s">
        <v>99</v>
      </c>
      <c r="F9" s="23" t="s">
        <v>100</v>
      </c>
      <c r="G9" s="23" t="s">
        <v>101</v>
      </c>
      <c r="H9" s="23" t="s">
        <v>102</v>
      </c>
    </row>
    <row r="10" ht="105.6" customHeight="1" spans="1:8">
      <c r="A10" s="23" t="s">
        <v>103</v>
      </c>
      <c r="B10" s="23" t="s">
        <v>78</v>
      </c>
      <c r="C10" s="23" t="s">
        <v>53</v>
      </c>
      <c r="D10" s="23" t="s">
        <v>104</v>
      </c>
      <c r="E10" s="23" t="s">
        <v>105</v>
      </c>
      <c r="F10" s="23" t="s">
        <v>106</v>
      </c>
      <c r="G10" s="23" t="s">
        <v>107</v>
      </c>
      <c r="H10" s="23" t="s">
        <v>108</v>
      </c>
    </row>
    <row r="11" ht="118.8" customHeight="1" spans="1:8">
      <c r="A11" s="23" t="s">
        <v>109</v>
      </c>
      <c r="B11" s="23" t="s">
        <v>78</v>
      </c>
      <c r="C11" s="23" t="s">
        <v>53</v>
      </c>
      <c r="D11" s="23" t="s">
        <v>110</v>
      </c>
      <c r="E11" s="23" t="s">
        <v>111</v>
      </c>
      <c r="F11" s="23" t="s">
        <v>112</v>
      </c>
      <c r="G11" s="23" t="s">
        <v>113</v>
      </c>
      <c r="H11" s="23" t="s">
        <v>114</v>
      </c>
    </row>
    <row r="12" ht="105.6" customHeight="1" spans="1:8">
      <c r="A12" s="23" t="s">
        <v>115</v>
      </c>
      <c r="B12" s="23" t="s">
        <v>97</v>
      </c>
      <c r="C12" s="23" t="s">
        <v>51</v>
      </c>
      <c r="D12" s="23" t="s">
        <v>116</v>
      </c>
      <c r="E12" s="23" t="s">
        <v>117</v>
      </c>
      <c r="F12" s="23" t="s">
        <v>118</v>
      </c>
      <c r="G12" s="23" t="s">
        <v>119</v>
      </c>
      <c r="H12" s="23" t="s">
        <v>120</v>
      </c>
    </row>
    <row r="13" ht="118.8" customHeight="1" spans="1:8">
      <c r="A13" s="23" t="s">
        <v>121</v>
      </c>
      <c r="B13" s="23" t="s">
        <v>97</v>
      </c>
      <c r="C13" s="23" t="s">
        <v>52</v>
      </c>
      <c r="D13" s="23" t="s">
        <v>122</v>
      </c>
      <c r="E13" s="23" t="s">
        <v>123</v>
      </c>
      <c r="F13" s="23" t="s">
        <v>124</v>
      </c>
      <c r="G13" s="23" t="s">
        <v>125</v>
      </c>
      <c r="H13" s="23" t="s">
        <v>126</v>
      </c>
    </row>
    <row r="14" ht="79.2" customHeight="1" spans="1:8">
      <c r="A14" s="23" t="s">
        <v>127</v>
      </c>
      <c r="B14" s="23" t="s">
        <v>78</v>
      </c>
      <c r="C14" s="23" t="s">
        <v>49</v>
      </c>
      <c r="D14" s="23" t="s">
        <v>128</v>
      </c>
      <c r="E14" s="23" t="s">
        <v>129</v>
      </c>
      <c r="F14" s="23" t="s">
        <v>130</v>
      </c>
      <c r="G14" s="23" t="s">
        <v>131</v>
      </c>
      <c r="H14" s="23" t="s">
        <v>132</v>
      </c>
    </row>
    <row r="15" ht="118.8" customHeight="1" spans="1:8">
      <c r="A15" s="23" t="s">
        <v>133</v>
      </c>
      <c r="B15" s="23" t="s">
        <v>97</v>
      </c>
      <c r="C15" s="23" t="s">
        <v>51</v>
      </c>
      <c r="D15" s="23" t="s">
        <v>134</v>
      </c>
      <c r="E15" s="23" t="s">
        <v>135</v>
      </c>
      <c r="F15" s="23" t="s">
        <v>136</v>
      </c>
      <c r="G15" s="23" t="s">
        <v>137</v>
      </c>
      <c r="H15" s="23" t="s">
        <v>138</v>
      </c>
    </row>
    <row r="16" customHeight="1" spans="1:8">
      <c r="A16" s="23"/>
      <c r="B16" s="23"/>
      <c r="C16" s="23"/>
      <c r="D16" s="23"/>
      <c r="E16" s="23"/>
      <c r="F16" s="23"/>
      <c r="G16" s="23"/>
      <c r="H16" s="23"/>
    </row>
    <row r="17" customHeight="1" spans="1:8">
      <c r="A17" s="23"/>
      <c r="B17" s="23"/>
      <c r="C17" s="23"/>
      <c r="D17" s="23"/>
      <c r="E17" s="23"/>
      <c r="F17" s="23"/>
      <c r="G17" s="23"/>
      <c r="H17" s="23"/>
    </row>
    <row r="18" customHeight="1" spans="1:8">
      <c r="A18" s="23"/>
      <c r="B18" s="23"/>
      <c r="C18" s="23"/>
      <c r="D18" s="23"/>
      <c r="E18" s="23"/>
      <c r="F18" s="23"/>
      <c r="G18" s="23"/>
      <c r="H18" s="23"/>
    </row>
    <row r="19" customHeight="1" spans="1:8">
      <c r="A19" s="23"/>
      <c r="B19" s="23"/>
      <c r="C19" s="23"/>
      <c r="D19" s="23"/>
      <c r="E19" s="23"/>
      <c r="F19" s="23"/>
      <c r="G19" s="23"/>
      <c r="H19" s="23"/>
    </row>
    <row r="20" customHeight="1" spans="1:8">
      <c r="A20" s="23"/>
      <c r="B20" s="23"/>
      <c r="C20" s="23"/>
      <c r="D20" s="23"/>
      <c r="E20" s="23"/>
      <c r="F20" s="23"/>
      <c r="G20" s="23"/>
      <c r="H20" s="23"/>
    </row>
    <row r="21" customHeight="1" spans="1:8">
      <c r="A21" s="23"/>
      <c r="B21" s="23"/>
      <c r="C21" s="23"/>
      <c r="D21" s="23"/>
      <c r="E21" s="23"/>
      <c r="F21" s="23"/>
      <c r="G21" s="23"/>
      <c r="H21" s="23"/>
    </row>
    <row r="22" customHeight="1" spans="1:8">
      <c r="A22" s="23"/>
      <c r="B22" s="23"/>
      <c r="C22" s="23"/>
      <c r="D22" s="23"/>
      <c r="E22" s="23"/>
      <c r="F22" s="23"/>
      <c r="G22" s="23"/>
      <c r="H22" s="23"/>
    </row>
    <row r="23" customHeight="1" spans="1:8">
      <c r="A23" s="23"/>
      <c r="B23" s="23"/>
      <c r="C23" s="23"/>
      <c r="D23" s="23"/>
      <c r="E23" s="23"/>
      <c r="F23" s="23"/>
      <c r="G23" s="23"/>
      <c r="H23" s="23"/>
    </row>
    <row r="24" customHeight="1" spans="1:8">
      <c r="A24" s="23"/>
      <c r="B24" s="23"/>
      <c r="C24" s="23"/>
      <c r="D24" s="23"/>
      <c r="E24" s="23"/>
      <c r="F24" s="23"/>
      <c r="G24" s="23"/>
      <c r="H24" s="23"/>
    </row>
    <row r="25" customHeight="1" spans="1:8">
      <c r="A25" s="23"/>
      <c r="B25" s="23"/>
      <c r="C25" s="23"/>
      <c r="D25" s="23"/>
      <c r="E25" s="23"/>
      <c r="F25" s="23"/>
      <c r="G25" s="23"/>
      <c r="H25" s="23"/>
    </row>
    <row r="26" ht="80" customHeight="1" spans="1:8">
      <c r="A26" s="26"/>
      <c r="B26" s="26"/>
      <c r="C26" s="26"/>
      <c r="D26" s="26"/>
      <c r="E26" s="26"/>
      <c r="F26" s="26"/>
      <c r="G26" s="26"/>
      <c r="H26" s="26"/>
    </row>
  </sheetData>
  <mergeCells count="2">
    <mergeCell ref="A1:H1"/>
    <mergeCell ref="A2:H2"/>
  </mergeCells>
  <dataValidations count="2">
    <dataValidation type="list" sqref="B4:B15">
      <formula1>"DECISION,PROBLEM-SOLVING,VERIFICATION"</formula1>
    </dataValidation>
    <dataValidation type="list" sqref="C4:C15">
      <formula1>"Decomposition,Pattern Recognition,Abstraction,Algorithms"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8" customWidth="1"/>
    <col min="2" max="2" width="24" customWidth="1"/>
    <col min="3" max="3" width="40" customWidth="1"/>
    <col min="4" max="4" width="44" customWidth="1"/>
    <col min="5" max="5" width="38" customWidth="1"/>
    <col min="6" max="6" width="44" customWidth="1"/>
  </cols>
  <sheetData>
    <row r="1" ht="67.2" customHeight="1" spans="1:6">
      <c r="A1" s="1" t="s">
        <v>139</v>
      </c>
      <c r="B1" s="1"/>
      <c r="C1" s="1"/>
      <c r="D1" s="1"/>
      <c r="E1" s="1"/>
      <c r="F1" s="1"/>
    </row>
    <row r="2" ht="60" customHeight="1" spans="1:6">
      <c r="A2" s="22" t="s">
        <v>140</v>
      </c>
      <c r="B2" s="3"/>
      <c r="C2" s="3"/>
      <c r="D2" s="3"/>
      <c r="E2" s="3"/>
      <c r="F2" s="3"/>
    </row>
    <row r="3" customHeight="1" spans="1:6">
      <c r="A3" s="7" t="s">
        <v>141</v>
      </c>
      <c r="B3" s="7" t="s">
        <v>142</v>
      </c>
      <c r="C3" s="7" t="s">
        <v>143</v>
      </c>
      <c r="D3" s="7" t="s">
        <v>144</v>
      </c>
      <c r="E3" s="7" t="s">
        <v>145</v>
      </c>
      <c r="F3" s="7" t="s">
        <v>146</v>
      </c>
    </row>
    <row r="4" ht="26.4" customHeight="1" spans="1:6">
      <c r="A4" s="23" t="s">
        <v>96</v>
      </c>
      <c r="B4" s="23" t="s">
        <v>147</v>
      </c>
      <c r="C4" s="23" t="s">
        <v>148</v>
      </c>
      <c r="D4" s="23" t="s">
        <v>149</v>
      </c>
      <c r="E4" s="23" t="s">
        <v>150</v>
      </c>
      <c r="F4" s="23" t="s">
        <v>151</v>
      </c>
    </row>
    <row r="5" ht="26.4" customHeight="1" spans="1:6">
      <c r="A5" s="23" t="s">
        <v>109</v>
      </c>
      <c r="B5" s="23" t="s">
        <v>152</v>
      </c>
      <c r="C5" s="23" t="s">
        <v>153</v>
      </c>
      <c r="D5" s="23" t="s">
        <v>154</v>
      </c>
      <c r="E5" s="23" t="s">
        <v>155</v>
      </c>
      <c r="F5" s="23" t="s">
        <v>156</v>
      </c>
    </row>
    <row r="6" ht="39.6" customHeight="1" spans="1:6">
      <c r="A6" s="23" t="s">
        <v>115</v>
      </c>
      <c r="B6" s="23" t="s">
        <v>152</v>
      </c>
      <c r="C6" s="23" t="s">
        <v>157</v>
      </c>
      <c r="D6" s="23" t="s">
        <v>158</v>
      </c>
      <c r="E6" s="23" t="s">
        <v>159</v>
      </c>
      <c r="F6" s="23" t="s">
        <v>160</v>
      </c>
    </row>
    <row r="7" ht="39.6" customHeight="1" spans="1:6">
      <c r="A7" s="23" t="s">
        <v>121</v>
      </c>
      <c r="B7" s="23" t="s">
        <v>147</v>
      </c>
      <c r="C7" s="23" t="s">
        <v>161</v>
      </c>
      <c r="D7" s="23" t="s">
        <v>162</v>
      </c>
      <c r="E7" s="23" t="s">
        <v>163</v>
      </c>
      <c r="F7" s="23" t="s">
        <v>164</v>
      </c>
    </row>
    <row r="8" customHeight="1" spans="1:6">
      <c r="A8" s="23"/>
      <c r="B8" s="23"/>
      <c r="C8" s="23"/>
      <c r="D8" s="23"/>
      <c r="E8" s="23"/>
      <c r="F8" s="23"/>
    </row>
    <row r="9" customHeight="1" spans="1:6">
      <c r="A9" s="23"/>
      <c r="B9" s="23"/>
      <c r="C9" s="23"/>
      <c r="D9" s="23"/>
      <c r="E9" s="23"/>
      <c r="F9" s="23"/>
    </row>
    <row r="10" ht="26.4" customHeight="1" spans="1:6">
      <c r="A10" s="24" t="s">
        <v>165</v>
      </c>
      <c r="B10" s="24"/>
      <c r="C10" s="24"/>
      <c r="D10" s="24"/>
      <c r="E10" s="24"/>
      <c r="F10" s="24"/>
    </row>
    <row r="11" customHeight="1" spans="1:6">
      <c r="A11" s="7" t="s">
        <v>166</v>
      </c>
      <c r="B11" s="7" t="s">
        <v>167</v>
      </c>
      <c r="C11" s="7" t="s">
        <v>168</v>
      </c>
      <c r="D11" s="23"/>
      <c r="E11" s="23"/>
      <c r="F11" s="23"/>
    </row>
    <row r="12" ht="26.4" customHeight="1" spans="1:6">
      <c r="A12" s="23" t="s">
        <v>169</v>
      </c>
      <c r="B12" s="23" t="s">
        <v>170</v>
      </c>
      <c r="C12" s="23" t="s">
        <v>171</v>
      </c>
      <c r="D12" s="23"/>
      <c r="E12" s="23"/>
      <c r="F12" s="23"/>
    </row>
    <row r="13" ht="26.4" customHeight="1" spans="1:6">
      <c r="A13" s="23" t="s">
        <v>152</v>
      </c>
      <c r="B13" s="23" t="s">
        <v>172</v>
      </c>
      <c r="C13" s="23" t="s">
        <v>173</v>
      </c>
      <c r="D13" s="23"/>
      <c r="E13" s="23"/>
      <c r="F13" s="23"/>
    </row>
    <row r="14" ht="26.4" customHeight="1" spans="1:6">
      <c r="A14" s="23" t="s">
        <v>174</v>
      </c>
      <c r="B14" s="23" t="s">
        <v>175</v>
      </c>
      <c r="C14" s="23" t="s">
        <v>176</v>
      </c>
      <c r="D14" s="23"/>
      <c r="E14" s="23"/>
      <c r="F14" s="23"/>
    </row>
    <row r="15" ht="26.4" customHeight="1" spans="1:6">
      <c r="A15" s="23" t="s">
        <v>177</v>
      </c>
      <c r="B15" s="23" t="s">
        <v>178</v>
      </c>
      <c r="C15" s="23" t="s">
        <v>179</v>
      </c>
      <c r="D15" s="23"/>
      <c r="E15" s="23"/>
      <c r="F15" s="23"/>
    </row>
    <row r="16" ht="26.4" customHeight="1" spans="1:6">
      <c r="A16" s="23" t="s">
        <v>147</v>
      </c>
      <c r="B16" s="23" t="s">
        <v>180</v>
      </c>
      <c r="C16" s="23" t="s">
        <v>181</v>
      </c>
      <c r="D16" s="23"/>
      <c r="E16" s="23"/>
      <c r="F16" s="23"/>
    </row>
    <row r="17" customHeight="1" spans="1:6">
      <c r="A17" s="23"/>
      <c r="B17" s="23"/>
      <c r="C17" s="23"/>
      <c r="D17" s="23"/>
      <c r="E17" s="23"/>
      <c r="F17" s="23"/>
    </row>
    <row r="18" customHeight="1" spans="1:6">
      <c r="A18" s="23"/>
      <c r="B18" s="23"/>
      <c r="C18" s="23"/>
      <c r="D18" s="23"/>
      <c r="E18" s="23"/>
      <c r="F18" s="23"/>
    </row>
    <row r="19" customHeight="1" spans="1:6">
      <c r="A19" s="23"/>
      <c r="B19" s="23"/>
      <c r="C19" s="23"/>
      <c r="D19" s="23"/>
      <c r="E19" s="23"/>
      <c r="F19" s="23"/>
    </row>
    <row r="20" customHeight="1" spans="1:6">
      <c r="A20" s="23"/>
      <c r="B20" s="23"/>
      <c r="C20" s="23"/>
      <c r="D20" s="23"/>
      <c r="E20" s="23"/>
      <c r="F20" s="23"/>
    </row>
    <row r="21" customHeight="1" spans="1:6">
      <c r="A21" s="23"/>
      <c r="B21" s="23"/>
      <c r="C21" s="23"/>
      <c r="D21" s="23"/>
      <c r="E21" s="23"/>
      <c r="F21" s="23"/>
    </row>
    <row r="22" customHeight="1" spans="1:6">
      <c r="A22" s="23"/>
      <c r="B22" s="23"/>
      <c r="C22" s="23"/>
      <c r="D22" s="23"/>
      <c r="E22" s="23"/>
      <c r="F22" s="23"/>
    </row>
    <row r="23" customHeight="1" spans="1:6">
      <c r="A23" s="23"/>
      <c r="B23" s="23"/>
      <c r="C23" s="23"/>
      <c r="D23" s="23"/>
      <c r="E23" s="23"/>
      <c r="F23" s="23"/>
    </row>
    <row r="24" customHeight="1" spans="1:6">
      <c r="A24" s="23"/>
      <c r="B24" s="23"/>
      <c r="C24" s="23"/>
      <c r="D24" s="23"/>
      <c r="E24" s="23"/>
      <c r="F24" s="23"/>
    </row>
    <row r="25" customHeight="1" spans="1:6">
      <c r="A25" s="4"/>
      <c r="B25" s="4"/>
      <c r="C25" s="4"/>
      <c r="D25" s="4"/>
      <c r="E25" s="4"/>
      <c r="F25" s="4"/>
    </row>
    <row r="26" customHeight="1" spans="1:6">
      <c r="A26" s="4"/>
      <c r="B26" s="4"/>
      <c r="C26" s="4"/>
      <c r="D26" s="4"/>
      <c r="E26" s="4"/>
      <c r="F26" s="4"/>
    </row>
    <row r="27" customHeight="1" spans="1:6">
      <c r="A27" s="4"/>
      <c r="B27" s="4"/>
      <c r="C27" s="4"/>
      <c r="D27" s="4"/>
      <c r="E27" s="4"/>
      <c r="F27" s="4"/>
    </row>
    <row r="28" customHeight="1" spans="1:6">
      <c r="A28" s="4"/>
      <c r="B28" s="4"/>
      <c r="C28" s="4"/>
      <c r="D28" s="4"/>
      <c r="E28" s="4"/>
      <c r="F28" s="4"/>
    </row>
    <row r="29" customHeight="1" spans="1:6">
      <c r="A29" s="4"/>
      <c r="B29" s="4"/>
      <c r="C29" s="4"/>
      <c r="D29" s="4"/>
      <c r="E29" s="4"/>
      <c r="F29" s="4"/>
    </row>
    <row r="30" ht="16.8" customHeight="1" spans="1:6">
      <c r="A30" s="16"/>
      <c r="B30" s="4"/>
      <c r="C30" s="4"/>
      <c r="D30" s="4"/>
      <c r="E30" s="4"/>
      <c r="F30" s="4"/>
    </row>
    <row r="31" spans="1:6">
      <c r="A31" s="25" t="s">
        <v>166</v>
      </c>
      <c r="B31" s="25" t="s">
        <v>167</v>
      </c>
      <c r="C31" s="25" t="s">
        <v>168</v>
      </c>
    </row>
    <row r="32" ht="28.8" spans="1:6">
      <c r="A32" s="26" t="s">
        <v>169</v>
      </c>
      <c r="B32" s="26" t="s">
        <v>170</v>
      </c>
      <c r="C32" s="26" t="s">
        <v>171</v>
      </c>
    </row>
    <row r="33" ht="28.8" spans="1:3">
      <c r="A33" s="26" t="s">
        <v>152</v>
      </c>
      <c r="B33" s="26" t="s">
        <v>172</v>
      </c>
      <c r="C33" s="26" t="s">
        <v>182</v>
      </c>
    </row>
    <row r="34" ht="28.8" spans="1:3">
      <c r="A34" s="26" t="s">
        <v>174</v>
      </c>
      <c r="B34" s="26" t="s">
        <v>183</v>
      </c>
      <c r="C34" s="26" t="s">
        <v>184</v>
      </c>
    </row>
    <row r="35" ht="28.8" spans="1:3">
      <c r="A35" s="26" t="s">
        <v>177</v>
      </c>
      <c r="B35" s="26" t="s">
        <v>178</v>
      </c>
      <c r="C35" s="26" t="s">
        <v>185</v>
      </c>
    </row>
    <row r="36" ht="28.8" spans="1:3">
      <c r="A36" s="26" t="s">
        <v>147</v>
      </c>
      <c r="B36" s="26" t="s">
        <v>180</v>
      </c>
      <c r="C36" s="26" t="s">
        <v>186</v>
      </c>
    </row>
  </sheetData>
  <mergeCells count="2">
    <mergeCell ref="A1:F1"/>
    <mergeCell ref="A2:F2"/>
  </mergeCells>
  <dataValidations count="1">
    <dataValidation type="list" sqref="B4:B7">
      <formula1>"Fabrication,Oversimplification,Logic Error,Outdated Info,Context Misunderstanding"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A1" sqref="A1:D1"/>
    </sheetView>
  </sheetViews>
  <sheetFormatPr defaultColWidth="9" defaultRowHeight="14.4" outlineLevelCol="3"/>
  <cols>
    <col min="1" max="1" width="12" customWidth="1"/>
    <col min="2" max="2" width="56" customWidth="1"/>
    <col min="3" max="3" width="18" customWidth="1"/>
    <col min="4" max="4" width="46" customWidth="1"/>
  </cols>
  <sheetData>
    <row r="1" ht="100.8" customHeight="1" spans="1:4">
      <c r="A1" s="1" t="s">
        <v>187</v>
      </c>
      <c r="B1" s="1"/>
      <c r="C1" s="1"/>
      <c r="D1" s="1"/>
    </row>
    <row r="2" ht="60" customHeight="1" spans="1:4">
      <c r="A2" s="2" t="s">
        <v>188</v>
      </c>
      <c r="B2" s="3"/>
      <c r="C2" s="3"/>
      <c r="D2" s="3"/>
    </row>
    <row r="3" customHeight="1" spans="1:4">
      <c r="A3" s="4"/>
      <c r="B3" s="4"/>
      <c r="C3" s="4"/>
      <c r="D3" s="4"/>
    </row>
    <row r="4" ht="84" customHeight="1" spans="1:4">
      <c r="A4" s="5" t="s">
        <v>189</v>
      </c>
      <c r="B4" s="6"/>
      <c r="C4" s="6"/>
      <c r="D4" s="6"/>
    </row>
    <row r="5" customHeight="1" spans="1:4">
      <c r="A5" s="7" t="s">
        <v>190</v>
      </c>
      <c r="B5" s="7" t="s">
        <v>191</v>
      </c>
      <c r="C5" s="7" t="s">
        <v>192</v>
      </c>
      <c r="D5" s="7" t="s">
        <v>193</v>
      </c>
    </row>
    <row r="6" ht="24" customHeight="1" spans="1:4">
      <c r="A6" s="8" t="s">
        <v>194</v>
      </c>
      <c r="B6" s="9" t="s">
        <v>195</v>
      </c>
      <c r="C6" s="8" t="s">
        <v>196</v>
      </c>
      <c r="D6" s="9" t="s">
        <v>197</v>
      </c>
    </row>
    <row r="7" ht="24" customHeight="1" spans="1:4">
      <c r="A7" s="8" t="s">
        <v>198</v>
      </c>
      <c r="B7" s="9" t="s">
        <v>199</v>
      </c>
      <c r="C7" s="8" t="s">
        <v>196</v>
      </c>
      <c r="D7" s="9" t="s">
        <v>200</v>
      </c>
    </row>
    <row r="8" ht="24" customHeight="1" spans="1:4">
      <c r="A8" s="8" t="s">
        <v>201</v>
      </c>
      <c r="B8" s="9" t="s">
        <v>202</v>
      </c>
      <c r="C8" s="8" t="s">
        <v>196</v>
      </c>
      <c r="D8" s="9" t="s">
        <v>203</v>
      </c>
    </row>
    <row r="9" ht="24" customHeight="1" spans="1:4">
      <c r="A9" s="8" t="s">
        <v>204</v>
      </c>
      <c r="B9" s="9" t="s">
        <v>205</v>
      </c>
      <c r="C9" s="8" t="s">
        <v>196</v>
      </c>
      <c r="D9" s="9" t="s">
        <v>206</v>
      </c>
    </row>
    <row r="10" customHeight="1" spans="1:4">
      <c r="A10" s="8" t="s">
        <v>207</v>
      </c>
      <c r="B10" s="9" t="s">
        <v>208</v>
      </c>
      <c r="C10" s="8" t="s">
        <v>196</v>
      </c>
      <c r="D10" s="9" t="s">
        <v>209</v>
      </c>
    </row>
    <row r="11" customHeight="1" spans="1:4">
      <c r="A11" s="10"/>
      <c r="B11" s="10"/>
      <c r="C11" s="10"/>
      <c r="D11" s="10"/>
    </row>
    <row r="12" ht="50.4" customHeight="1" spans="1:4">
      <c r="A12" s="11" t="s">
        <v>210</v>
      </c>
      <c r="B12" s="12"/>
      <c r="C12" s="12"/>
      <c r="D12" s="12"/>
    </row>
    <row r="13" customHeight="1" spans="1:4">
      <c r="A13" s="13" t="s">
        <v>190</v>
      </c>
      <c r="B13" s="13" t="s">
        <v>191</v>
      </c>
      <c r="C13" s="13" t="s">
        <v>192</v>
      </c>
      <c r="D13" s="13" t="s">
        <v>211</v>
      </c>
    </row>
    <row r="14" customHeight="1" spans="1:4">
      <c r="A14" s="8" t="s">
        <v>194</v>
      </c>
      <c r="B14" s="9" t="s">
        <v>212</v>
      </c>
      <c r="C14" s="8" t="s">
        <v>196</v>
      </c>
      <c r="D14" s="9" t="s">
        <v>213</v>
      </c>
    </row>
    <row r="15" ht="24" customHeight="1" spans="1:4">
      <c r="A15" s="8" t="s">
        <v>198</v>
      </c>
      <c r="B15" s="9" t="s">
        <v>214</v>
      </c>
      <c r="C15" s="8" t="s">
        <v>196</v>
      </c>
      <c r="D15" s="9" t="s">
        <v>215</v>
      </c>
    </row>
    <row r="16" customHeight="1" spans="1:4">
      <c r="A16" s="8" t="s">
        <v>201</v>
      </c>
      <c r="B16" s="9" t="s">
        <v>216</v>
      </c>
      <c r="C16" s="8" t="s">
        <v>196</v>
      </c>
      <c r="D16" s="9" t="s">
        <v>217</v>
      </c>
    </row>
    <row r="17" customHeight="1" spans="1:4">
      <c r="A17" s="8" t="s">
        <v>204</v>
      </c>
      <c r="B17" s="9" t="s">
        <v>218</v>
      </c>
      <c r="C17" s="8" t="s">
        <v>196</v>
      </c>
      <c r="D17" s="9" t="s">
        <v>219</v>
      </c>
    </row>
    <row r="18" customHeight="1" spans="1:4">
      <c r="A18" s="8" t="s">
        <v>207</v>
      </c>
      <c r="B18" s="9" t="s">
        <v>220</v>
      </c>
      <c r="C18" s="8" t="s">
        <v>196</v>
      </c>
      <c r="D18" s="9" t="s">
        <v>221</v>
      </c>
    </row>
    <row r="19" customHeight="1" spans="1:4">
      <c r="A19" s="4"/>
      <c r="B19" s="4"/>
      <c r="C19" s="4"/>
      <c r="D19" s="4"/>
    </row>
    <row r="20" ht="43.2" customHeight="1" spans="1:4">
      <c r="A20" s="14" t="s">
        <v>222</v>
      </c>
      <c r="B20" s="6"/>
      <c r="C20" s="6"/>
      <c r="D20" s="6"/>
    </row>
    <row r="21" ht="79.2" customHeight="1" spans="1:4">
      <c r="A21" s="15" t="s">
        <v>223</v>
      </c>
      <c r="B21" s="4"/>
      <c r="C21" s="4"/>
      <c r="D21" s="4"/>
    </row>
    <row r="22" ht="79.2" customHeight="1" spans="1:4">
      <c r="A22" s="15" t="s">
        <v>224</v>
      </c>
      <c r="B22" s="4"/>
      <c r="C22" s="4"/>
      <c r="D22" s="4"/>
    </row>
    <row r="23" customHeight="1" spans="1:4">
      <c r="A23" s="4"/>
      <c r="B23" s="4"/>
      <c r="C23" s="4"/>
      <c r="D23" s="4"/>
    </row>
    <row r="24" ht="39.6" customHeight="1" spans="1:4">
      <c r="A24" s="6" t="s">
        <v>225</v>
      </c>
      <c r="B24" s="6"/>
      <c r="C24" s="6"/>
      <c r="D24" s="6"/>
    </row>
    <row r="25" ht="100.8" customHeight="1" spans="1:4">
      <c r="A25" s="16" t="s">
        <v>226</v>
      </c>
      <c r="B25" s="4"/>
      <c r="C25" s="4"/>
      <c r="D25" s="4"/>
    </row>
    <row r="26" ht="26.4" customHeight="1" spans="1:4">
      <c r="A26" s="17" t="s">
        <v>56</v>
      </c>
      <c r="B26" s="18" t="s">
        <v>227</v>
      </c>
      <c r="C26" s="18" t="s">
        <v>228</v>
      </c>
      <c r="D26" s="18" t="s">
        <v>229</v>
      </c>
    </row>
    <row r="27" customHeight="1" spans="1:4">
      <c r="A27" s="19" t="s">
        <v>64</v>
      </c>
      <c r="B27" s="19" t="s">
        <v>196</v>
      </c>
      <c r="C27" s="19" t="s">
        <v>196</v>
      </c>
      <c r="D27" s="19" t="s">
        <v>196</v>
      </c>
    </row>
    <row r="28" customHeight="1" spans="1:4">
      <c r="A28" s="20" t="s">
        <v>71</v>
      </c>
      <c r="B28" s="20" t="s">
        <v>196</v>
      </c>
      <c r="C28" s="20" t="s">
        <v>196</v>
      </c>
      <c r="D28" s="20" t="s">
        <v>196</v>
      </c>
    </row>
    <row r="29" customHeight="1" spans="1:4">
      <c r="A29" s="20" t="s">
        <v>77</v>
      </c>
      <c r="B29" s="20" t="s">
        <v>196</v>
      </c>
      <c r="C29" s="20" t="s">
        <v>196</v>
      </c>
      <c r="D29" s="20" t="s">
        <v>196</v>
      </c>
    </row>
    <row r="30" customHeight="1" spans="1:4">
      <c r="A30" s="20" t="s">
        <v>84</v>
      </c>
      <c r="B30" s="20" t="s">
        <v>196</v>
      </c>
      <c r="C30" s="20" t="s">
        <v>196</v>
      </c>
      <c r="D30" s="20" t="s">
        <v>196</v>
      </c>
    </row>
    <row r="31" customHeight="1" spans="1:4">
      <c r="A31" s="21" t="s">
        <v>90</v>
      </c>
      <c r="B31" s="21" t="s">
        <v>196</v>
      </c>
      <c r="C31" s="21" t="s">
        <v>196</v>
      </c>
      <c r="D31" s="21" t="s">
        <v>196</v>
      </c>
    </row>
    <row r="32" customHeight="1" spans="1:4">
      <c r="A32" s="21" t="s">
        <v>96</v>
      </c>
      <c r="B32" s="21" t="s">
        <v>196</v>
      </c>
      <c r="C32" s="21" t="s">
        <v>196</v>
      </c>
      <c r="D32" s="21" t="s">
        <v>196</v>
      </c>
    </row>
    <row r="33" customHeight="1" spans="1:4">
      <c r="A33" s="21" t="s">
        <v>103</v>
      </c>
      <c r="B33" s="21" t="s">
        <v>196</v>
      </c>
      <c r="C33" s="21" t="s">
        <v>196</v>
      </c>
      <c r="D33" s="21" t="s">
        <v>196</v>
      </c>
    </row>
    <row r="34" customHeight="1" spans="1:4">
      <c r="A34" s="21" t="s">
        <v>109</v>
      </c>
      <c r="B34" s="21" t="s">
        <v>196</v>
      </c>
      <c r="C34" s="21" t="s">
        <v>196</v>
      </c>
      <c r="D34" s="21" t="s">
        <v>196</v>
      </c>
    </row>
    <row r="35" customHeight="1" spans="1:4">
      <c r="A35" s="21" t="s">
        <v>115</v>
      </c>
      <c r="B35" s="21" t="s">
        <v>196</v>
      </c>
      <c r="C35" s="21" t="s">
        <v>196</v>
      </c>
      <c r="D35" s="21" t="s">
        <v>196</v>
      </c>
    </row>
    <row r="36" customHeight="1" spans="1:4">
      <c r="A36" s="21" t="s">
        <v>121</v>
      </c>
      <c r="B36" s="21" t="s">
        <v>196</v>
      </c>
      <c r="C36" s="21" t="s">
        <v>196</v>
      </c>
      <c r="D36" s="21" t="s">
        <v>196</v>
      </c>
    </row>
    <row r="37" customHeight="1" spans="1:4">
      <c r="A37" s="21" t="s">
        <v>127</v>
      </c>
      <c r="B37" s="21" t="s">
        <v>196</v>
      </c>
      <c r="C37" s="21" t="s">
        <v>196</v>
      </c>
      <c r="D37" s="21" t="s">
        <v>196</v>
      </c>
    </row>
    <row r="38" customHeight="1" spans="1:4">
      <c r="A38" s="21" t="s">
        <v>133</v>
      </c>
      <c r="B38" s="21" t="s">
        <v>196</v>
      </c>
      <c r="C38" s="21" t="s">
        <v>196</v>
      </c>
      <c r="D38" s="21" t="s">
        <v>196</v>
      </c>
    </row>
    <row r="39" customHeight="1" spans="1:4">
      <c r="A39" s="4"/>
      <c r="B39" s="4"/>
      <c r="C39" s="4"/>
      <c r="D39" s="4"/>
    </row>
    <row r="40" customHeight="1" spans="1:4">
      <c r="A40" s="4"/>
      <c r="B40" s="4"/>
      <c r="C40" s="4"/>
      <c r="D40" s="4"/>
    </row>
    <row r="41" customHeight="1" spans="1:4">
      <c r="A41" s="4"/>
      <c r="B41" s="4"/>
      <c r="C41" s="4"/>
      <c r="D41" s="4"/>
    </row>
    <row r="42" customHeight="1" spans="1:4">
      <c r="A42" s="4"/>
      <c r="B42" s="4"/>
      <c r="C42" s="4"/>
      <c r="D42" s="4"/>
    </row>
  </sheetData>
  <mergeCells count="2">
    <mergeCell ref="A1:D1"/>
    <mergeCell ref="A2:D2"/>
  </mergeCells>
  <dataValidations count="1">
    <dataValidation type="list" sqref="C6:C18">
      <formula1>"☑,☐"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WPS_1708593444</cp:lastModifiedBy>
  <dcterms:created xsi:type="dcterms:W3CDTF">2026-05-25T16:30:08Z</dcterms:created>
  <dcterms:modified xsi:type="dcterms:W3CDTF">2026-05-25T16:30:31Z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AB41AF3FF3364D7CB7D51216F55B225D_12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